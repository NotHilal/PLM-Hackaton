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mara\Downloads\DATASET_AIRPLUS\JDD - Hackathon Process Mining_Excel\"/>
    </mc:Choice>
  </mc:AlternateContent>
  <xr:revisionPtr revIDLastSave="0" documentId="13_ncr:1_{80E649AC-6D76-411F-AFEC-FA71FB0303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Feuil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8" i="2" l="1" a="1"/>
  <c r="A4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<sst xmlns="http://schemas.openxmlformats.org/spreadsheetml/2006/main" count="338" uniqueCount="138">
  <si>
    <t>Code / Référence</t>
  </si>
  <si>
    <t>Quantité</t>
  </si>
  <si>
    <t>Fournisseur</t>
  </si>
  <si>
    <t>Désignation</t>
  </si>
  <si>
    <t>D119</t>
  </si>
  <si>
    <t>D120</t>
  </si>
  <si>
    <t>D145</t>
  </si>
  <si>
    <t>D144</t>
  </si>
  <si>
    <t>D142</t>
  </si>
  <si>
    <t>D088</t>
  </si>
  <si>
    <t>D122</t>
  </si>
  <si>
    <t>D278</t>
  </si>
  <si>
    <t>D116</t>
  </si>
  <si>
    <t>D117</t>
  </si>
  <si>
    <t>D234</t>
  </si>
  <si>
    <t>A018</t>
  </si>
  <si>
    <t>A235</t>
  </si>
  <si>
    <t>C775</t>
  </si>
  <si>
    <t>A437</t>
  </si>
  <si>
    <t>C768</t>
  </si>
  <si>
    <t>A806</t>
  </si>
  <si>
    <t>A012</t>
  </si>
  <si>
    <t>A423</t>
  </si>
  <si>
    <t>A247</t>
  </si>
  <si>
    <t>A511</t>
  </si>
  <si>
    <t>A637</t>
  </si>
  <si>
    <t>D005</t>
  </si>
  <si>
    <t>A337</t>
  </si>
  <si>
    <t>D277</t>
  </si>
  <si>
    <t>A138</t>
  </si>
  <si>
    <t>A623</t>
  </si>
  <si>
    <t>A238</t>
  </si>
  <si>
    <t>A259</t>
  </si>
  <si>
    <t>D010</t>
  </si>
  <si>
    <t>C984</t>
  </si>
  <si>
    <t>A415</t>
  </si>
  <si>
    <t>C993</t>
  </si>
  <si>
    <t>C330</t>
  </si>
  <si>
    <t>C483</t>
  </si>
  <si>
    <t>A416</t>
  </si>
  <si>
    <t>C769</t>
  </si>
  <si>
    <t>A417</t>
  </si>
  <si>
    <t>A413</t>
  </si>
  <si>
    <t>Nez_Gauche</t>
  </si>
  <si>
    <t>Nez_Droit</t>
  </si>
  <si>
    <t>Queue_Arrière_Gauche</t>
  </si>
  <si>
    <t>Queue_Arrière_Droite</t>
  </si>
  <si>
    <t>Moteur</t>
  </si>
  <si>
    <t>Fuselage_Centrale</t>
  </si>
  <si>
    <t>Aileron_Arrière</t>
  </si>
  <si>
    <t>Queue_Arrière</t>
  </si>
  <si>
    <t>Element_Aile</t>
  </si>
  <si>
    <t>Structure_Aile</t>
  </si>
  <si>
    <t>Boitier_Electronique</t>
  </si>
  <si>
    <t>Axe_Cylindrique</t>
  </si>
  <si>
    <t>Element_Structure</t>
  </si>
  <si>
    <t>Train_Atterissage</t>
  </si>
  <si>
    <t>Visserie</t>
  </si>
  <si>
    <t>Rivet</t>
  </si>
  <si>
    <t>Ecrou_Métalique</t>
  </si>
  <si>
    <t>Ecrou_Plastique</t>
  </si>
  <si>
    <t>Rondelle_Platte</t>
  </si>
  <si>
    <t>Roue_Train_Atterissage</t>
  </si>
  <si>
    <t>Entretoise</t>
  </si>
  <si>
    <t>Agraphe_Faisceau</t>
  </si>
  <si>
    <t>Outillage_Tournevis</t>
  </si>
  <si>
    <t>Outillage_Clé_Serrage</t>
  </si>
  <si>
    <t>C995</t>
  </si>
  <si>
    <t>Stickers_Peinture_Avion</t>
  </si>
  <si>
    <t>```</t>
  </si>
  <si>
    <t>Caractéristiques :</t>
  </si>
  <si>
    <t>Voulez-vous une analyse ou des détails supplémentaires ?</t>
  </si>
  <si>
    <t>Code/Référence</t>
  </si>
  <si>
    <t>Délai Approvisionnement</t>
  </si>
  <si>
    <t>Criticité</t>
  </si>
  <si>
    <t>AeroStructure France</t>
  </si>
  <si>
    <t>15-20 jours</t>
  </si>
  <si>
    <t>Critique</t>
  </si>
  <si>
    <t>Airbus Composites</t>
  </si>
  <si>
    <t>10-15 jours</t>
  </si>
  <si>
    <t>Haute</t>
  </si>
  <si>
    <t>Safran Engines</t>
  </si>
  <si>
    <t>30-45 jours</t>
  </si>
  <si>
    <t>Stelia Aerospace</t>
  </si>
  <si>
    <t>20-25 jours</t>
  </si>
  <si>
    <t>Daher Aerospace</t>
  </si>
  <si>
    <t>12-18 jours</t>
  </si>
  <si>
    <t>Moyenne</t>
  </si>
  <si>
    <t>Latecoere</t>
  </si>
  <si>
    <t>Thales Avionics</t>
  </si>
  <si>
    <t>25-35 jours</t>
  </si>
  <si>
    <t>Mecachrome</t>
  </si>
  <si>
    <t>7-10 jours</t>
  </si>
  <si>
    <t>Safran Nacelles</t>
  </si>
  <si>
    <t>25-30 jours</t>
  </si>
  <si>
    <t>Messier-Bugatti-Dowty</t>
  </si>
  <si>
    <t>Acument Global Technologies</t>
  </si>
  <si>
    <t>5-7 jours</t>
  </si>
  <si>
    <t>Basse</t>
  </si>
  <si>
    <t>Alcoa Fastening Systems</t>
  </si>
  <si>
    <t>Norelem</t>
  </si>
  <si>
    <t>Aptiv</t>
  </si>
  <si>
    <t>Snap-on Industrial</t>
  </si>
  <si>
    <t>3M Aerospace</t>
  </si>
  <si>
    <t>Masse (kg)</t>
  </si>
  <si>
    <t>45.5</t>
  </si>
  <si>
    <t>35.2</t>
  </si>
  <si>
    <t>1250.0</t>
  </si>
  <si>
    <t>850.0</t>
  </si>
  <si>
    <t>22.5</t>
  </si>
  <si>
    <t>40.0</t>
  </si>
  <si>
    <t>180.0</t>
  </si>
  <si>
    <t>220.0</t>
  </si>
  <si>
    <t>15.0</t>
  </si>
  <si>
    <t>2.5</t>
  </si>
  <si>
    <t>12.0</t>
  </si>
  <si>
    <t>10.0</t>
  </si>
  <si>
    <t>8.5</t>
  </si>
  <si>
    <t>11.0</t>
  </si>
  <si>
    <t>9.0</t>
  </si>
  <si>
    <t>10.5</t>
  </si>
  <si>
    <t>8.0</t>
  </si>
  <si>
    <t>9.5</t>
  </si>
  <si>
    <t>7.5</t>
  </si>
  <si>
    <t>350.0</t>
  </si>
  <si>
    <t>0.1</t>
  </si>
  <si>
    <t>0.05</t>
  </si>
  <si>
    <t>0.08</t>
  </si>
  <si>
    <t>0.02</t>
  </si>
  <si>
    <t>85.0</t>
  </si>
  <si>
    <t>0.5</t>
  </si>
  <si>
    <t>0.2</t>
  </si>
  <si>
    <t>0.7</t>
  </si>
  <si>
    <t>Temps CAO (h)</t>
  </si>
  <si>
    <t>- Temps cohérents avec la complexité</t>
  </si>
  <si>
    <t>- Variation de 1h à 512h</t>
  </si>
  <si>
    <t>- Basé sur la complexité structurelle</t>
  </si>
  <si>
    <t>Coût achat pièce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</si>
</sst>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workbookViewId="0">
      <selection activeCell="J9" sqref="J9"/>
    </sheetView>
  </sheetViews>
  <sheetFormatPr baseColWidth="10" defaultColWidth="8.77734375" defaultRowHeight="14.4" x14ac:dyDescent="0.3"/>
  <cols>
    <col min="1" max="1" width="15.5546875" style="2" bestFit="1" customWidth="1"/>
    <col min="2" max="2" width="20.6640625" style="2" bestFit="1" customWidth="1"/>
    <col min="3" max="3" width="8.33203125" style="2" bestFit="1" customWidth="1"/>
    <col min="4" max="4" width="25.21875" style="2" bestFit="1" customWidth="1"/>
    <col min="5" max="5" width="22.44140625" style="2" bestFit="1" customWidth="1"/>
    <col min="6" max="6" width="8.6640625" style="2" bestFit="1" customWidth="1"/>
    <col min="7" max="7" width="10.109375" style="2" bestFit="1" customWidth="1"/>
    <col min="8" max="8" width="17.88671875" style="2" bestFit="1" customWidth="1"/>
    <col min="9" max="9" width="13.5546875" style="2" bestFit="1" customWidth="1"/>
    <col min="10" max="16384" width="8.77734375" style="2"/>
  </cols>
  <sheetData>
    <row r="1" spans="1:9" x14ac:dyDescent="0.3">
      <c r="A1" s="1" t="s">
        <v>0</v>
      </c>
      <c r="B1" s="1" t="s">
        <v>3</v>
      </c>
      <c r="C1" s="1" t="s">
        <v>1</v>
      </c>
      <c r="D1" s="1" t="s">
        <v>2</v>
      </c>
      <c r="E1" s="1" t="s">
        <v>73</v>
      </c>
      <c r="F1" s="1" t="s">
        <v>74</v>
      </c>
      <c r="G1" s="1" t="s">
        <v>104</v>
      </c>
      <c r="H1" s="1" t="s">
        <v>137</v>
      </c>
      <c r="I1" s="1" t="s">
        <v>133</v>
      </c>
    </row>
    <row r="2" spans="1:9" x14ac:dyDescent="0.3">
      <c r="A2" s="3" t="s">
        <v>4</v>
      </c>
      <c r="B2" s="2" t="s">
        <v>43</v>
      </c>
      <c r="C2" s="3">
        <v>1</v>
      </c>
      <c r="D2" s="2" t="s">
        <v>75</v>
      </c>
      <c r="E2" s="2" t="s">
        <v>76</v>
      </c>
      <c r="F2" s="2" t="s">
        <v>77</v>
      </c>
      <c r="G2" s="2" t="s">
        <v>105</v>
      </c>
      <c r="H2" s="4">
        <v>85000</v>
      </c>
      <c r="I2" s="2">
        <v>156</v>
      </c>
    </row>
    <row r="3" spans="1:9" x14ac:dyDescent="0.3">
      <c r="A3" s="3" t="s">
        <v>5</v>
      </c>
      <c r="B3" s="2" t="s">
        <v>44</v>
      </c>
      <c r="C3" s="3">
        <v>1</v>
      </c>
      <c r="D3" s="2" t="s">
        <v>75</v>
      </c>
      <c r="E3" s="2" t="s">
        <v>76</v>
      </c>
      <c r="F3" s="2" t="s">
        <v>77</v>
      </c>
      <c r="G3" s="2" t="s">
        <v>105</v>
      </c>
      <c r="H3" s="4">
        <v>85000</v>
      </c>
      <c r="I3" s="2">
        <v>156</v>
      </c>
    </row>
    <row r="4" spans="1:9" x14ac:dyDescent="0.3">
      <c r="A4" s="3" t="s">
        <v>6</v>
      </c>
      <c r="B4" s="2" t="s">
        <v>45</v>
      </c>
      <c r="C4" s="3">
        <v>1</v>
      </c>
      <c r="D4" s="2" t="s">
        <v>78</v>
      </c>
      <c r="E4" s="2" t="s">
        <v>79</v>
      </c>
      <c r="F4" s="2" t="s">
        <v>80</v>
      </c>
      <c r="G4" s="2" t="s">
        <v>106</v>
      </c>
      <c r="H4" s="4">
        <v>65000</v>
      </c>
      <c r="I4" s="2">
        <v>98</v>
      </c>
    </row>
    <row r="5" spans="1:9" x14ac:dyDescent="0.3">
      <c r="A5" s="3" t="s">
        <v>7</v>
      </c>
      <c r="B5" s="2" t="s">
        <v>46</v>
      </c>
      <c r="C5" s="3">
        <v>1</v>
      </c>
      <c r="D5" s="2" t="s">
        <v>78</v>
      </c>
      <c r="E5" s="2" t="s">
        <v>79</v>
      </c>
      <c r="F5" s="2" t="s">
        <v>80</v>
      </c>
      <c r="G5" s="2" t="s">
        <v>106</v>
      </c>
      <c r="H5" s="4">
        <v>65000</v>
      </c>
      <c r="I5" s="2">
        <v>98</v>
      </c>
    </row>
    <row r="6" spans="1:9" x14ac:dyDescent="0.3">
      <c r="A6" s="3" t="s">
        <v>8</v>
      </c>
      <c r="B6" s="2" t="s">
        <v>47</v>
      </c>
      <c r="C6" s="3">
        <v>4</v>
      </c>
      <c r="D6" s="2" t="s">
        <v>81</v>
      </c>
      <c r="E6" s="2" t="s">
        <v>82</v>
      </c>
      <c r="F6" s="2" t="s">
        <v>77</v>
      </c>
      <c r="G6" s="2" t="s">
        <v>107</v>
      </c>
      <c r="H6" s="4">
        <v>2500000</v>
      </c>
      <c r="I6" s="2">
        <v>512</v>
      </c>
    </row>
    <row r="7" spans="1:9" x14ac:dyDescent="0.3">
      <c r="A7" s="3" t="s">
        <v>9</v>
      </c>
      <c r="B7" s="2" t="s">
        <v>48</v>
      </c>
      <c r="C7" s="3">
        <v>6</v>
      </c>
      <c r="D7" s="2" t="s">
        <v>83</v>
      </c>
      <c r="E7" s="2" t="s">
        <v>84</v>
      </c>
      <c r="F7" s="2" t="s">
        <v>77</v>
      </c>
      <c r="G7" s="2" t="s">
        <v>108</v>
      </c>
      <c r="H7" s="4">
        <v>1200000</v>
      </c>
      <c r="I7" s="2">
        <v>376</v>
      </c>
    </row>
    <row r="8" spans="1:9" x14ac:dyDescent="0.3">
      <c r="A8" s="3" t="s">
        <v>10</v>
      </c>
      <c r="B8" s="2" t="s">
        <v>49</v>
      </c>
      <c r="C8" s="3">
        <v>2</v>
      </c>
      <c r="D8" s="2" t="s">
        <v>85</v>
      </c>
      <c r="E8" s="2" t="s">
        <v>86</v>
      </c>
      <c r="F8" s="2" t="s">
        <v>87</v>
      </c>
      <c r="G8" s="2" t="s">
        <v>109</v>
      </c>
      <c r="H8" s="4">
        <v>42000</v>
      </c>
      <c r="I8" s="2">
        <v>74</v>
      </c>
    </row>
    <row r="9" spans="1:9" x14ac:dyDescent="0.3">
      <c r="A9" s="3" t="s">
        <v>11</v>
      </c>
      <c r="B9" s="2" t="s">
        <v>50</v>
      </c>
      <c r="C9" s="3">
        <v>1</v>
      </c>
      <c r="D9" s="2" t="s">
        <v>78</v>
      </c>
      <c r="E9" s="2" t="s">
        <v>79</v>
      </c>
      <c r="F9" s="2" t="s">
        <v>80</v>
      </c>
      <c r="G9" s="2" t="s">
        <v>110</v>
      </c>
      <c r="H9" s="4">
        <v>75000</v>
      </c>
      <c r="I9" s="2">
        <v>86</v>
      </c>
    </row>
    <row r="10" spans="1:9" x14ac:dyDescent="0.3">
      <c r="A10" s="3" t="s">
        <v>12</v>
      </c>
      <c r="B10" s="2" t="s">
        <v>51</v>
      </c>
      <c r="C10" s="3">
        <v>2</v>
      </c>
      <c r="D10" s="2" t="s">
        <v>88</v>
      </c>
      <c r="E10" s="2" t="s">
        <v>76</v>
      </c>
      <c r="F10" s="2" t="s">
        <v>80</v>
      </c>
      <c r="G10" s="2" t="s">
        <v>111</v>
      </c>
      <c r="H10" s="4">
        <v>320000</v>
      </c>
      <c r="I10" s="2">
        <v>192</v>
      </c>
    </row>
    <row r="11" spans="1:9" x14ac:dyDescent="0.3">
      <c r="A11" s="3" t="s">
        <v>13</v>
      </c>
      <c r="B11" s="2" t="s">
        <v>52</v>
      </c>
      <c r="C11" s="3">
        <v>2</v>
      </c>
      <c r="D11" s="2" t="s">
        <v>88</v>
      </c>
      <c r="E11" s="2" t="s">
        <v>76</v>
      </c>
      <c r="F11" s="2" t="s">
        <v>80</v>
      </c>
      <c r="G11" s="2" t="s">
        <v>112</v>
      </c>
      <c r="H11" s="4">
        <v>380000</v>
      </c>
      <c r="I11" s="2">
        <v>214</v>
      </c>
    </row>
    <row r="12" spans="1:9" x14ac:dyDescent="0.3">
      <c r="A12" s="3" t="s">
        <v>14</v>
      </c>
      <c r="B12" s="2" t="s">
        <v>53</v>
      </c>
      <c r="C12" s="3">
        <v>1</v>
      </c>
      <c r="D12" s="2" t="s">
        <v>89</v>
      </c>
      <c r="E12" s="2" t="s">
        <v>90</v>
      </c>
      <c r="F12" s="2" t="s">
        <v>77</v>
      </c>
      <c r="G12" s="2" t="s">
        <v>113</v>
      </c>
      <c r="H12" s="4">
        <v>250000</v>
      </c>
      <c r="I12" s="2">
        <v>126</v>
      </c>
    </row>
    <row r="13" spans="1:9" x14ac:dyDescent="0.3">
      <c r="A13" s="3" t="s">
        <v>15</v>
      </c>
      <c r="B13" s="2" t="s">
        <v>54</v>
      </c>
      <c r="C13" s="3">
        <v>5</v>
      </c>
      <c r="D13" s="2" t="s">
        <v>91</v>
      </c>
      <c r="E13" s="2" t="s">
        <v>92</v>
      </c>
      <c r="F13" s="2" t="s">
        <v>87</v>
      </c>
      <c r="G13" s="2" t="s">
        <v>114</v>
      </c>
      <c r="H13" s="2">
        <v>500</v>
      </c>
      <c r="I13" s="2">
        <v>10</v>
      </c>
    </row>
    <row r="14" spans="1:9" x14ac:dyDescent="0.3">
      <c r="A14" s="3" t="s">
        <v>35</v>
      </c>
      <c r="B14" s="2" t="s">
        <v>55</v>
      </c>
      <c r="C14" s="3">
        <v>8</v>
      </c>
      <c r="D14" s="2" t="s">
        <v>85</v>
      </c>
      <c r="E14" s="2" t="s">
        <v>86</v>
      </c>
      <c r="F14" s="2" t="s">
        <v>87</v>
      </c>
      <c r="G14" s="2" t="s">
        <v>115</v>
      </c>
      <c r="H14" s="4">
        <v>2500</v>
      </c>
      <c r="I14" s="2">
        <v>26</v>
      </c>
    </row>
    <row r="15" spans="1:9" x14ac:dyDescent="0.3">
      <c r="A15" s="3" t="s">
        <v>42</v>
      </c>
      <c r="B15" s="2" t="s">
        <v>55</v>
      </c>
      <c r="C15" s="3">
        <v>4</v>
      </c>
      <c r="D15" s="2" t="s">
        <v>85</v>
      </c>
      <c r="E15" s="2" t="s">
        <v>86</v>
      </c>
      <c r="F15" s="2" t="s">
        <v>87</v>
      </c>
      <c r="G15" s="2" t="s">
        <v>115</v>
      </c>
      <c r="H15" s="4">
        <v>2500</v>
      </c>
      <c r="I15" s="2">
        <v>26</v>
      </c>
    </row>
    <row r="16" spans="1:9" x14ac:dyDescent="0.3">
      <c r="A16" s="3" t="s">
        <v>16</v>
      </c>
      <c r="B16" s="2" t="s">
        <v>55</v>
      </c>
      <c r="C16" s="3">
        <v>6</v>
      </c>
      <c r="D16" s="2" t="s">
        <v>88</v>
      </c>
      <c r="E16" s="2" t="s">
        <v>76</v>
      </c>
      <c r="F16" s="2" t="s">
        <v>87</v>
      </c>
      <c r="G16" s="2" t="s">
        <v>116</v>
      </c>
      <c r="H16" s="4">
        <v>2000</v>
      </c>
      <c r="I16" s="2">
        <v>22</v>
      </c>
    </row>
    <row r="17" spans="1:9" x14ac:dyDescent="0.3">
      <c r="A17" s="3" t="s">
        <v>41</v>
      </c>
      <c r="B17" s="2" t="s">
        <v>55</v>
      </c>
      <c r="C17" s="3">
        <v>6</v>
      </c>
      <c r="D17" s="2" t="s">
        <v>88</v>
      </c>
      <c r="E17" s="2" t="s">
        <v>76</v>
      </c>
      <c r="F17" s="2" t="s">
        <v>87</v>
      </c>
      <c r="G17" s="2" t="s">
        <v>116</v>
      </c>
      <c r="H17" s="4">
        <v>2000</v>
      </c>
      <c r="I17" s="2">
        <v>22</v>
      </c>
    </row>
    <row r="18" spans="1:9" x14ac:dyDescent="0.3">
      <c r="A18" s="3" t="s">
        <v>40</v>
      </c>
      <c r="B18" s="2" t="s">
        <v>55</v>
      </c>
      <c r="C18" s="3">
        <v>1</v>
      </c>
      <c r="D18" s="2" t="s">
        <v>83</v>
      </c>
      <c r="E18" s="2" t="s">
        <v>84</v>
      </c>
      <c r="F18" s="2" t="s">
        <v>87</v>
      </c>
      <c r="G18" s="2" t="s">
        <v>117</v>
      </c>
      <c r="H18" s="4">
        <v>1800</v>
      </c>
      <c r="I18" s="2">
        <v>18</v>
      </c>
    </row>
    <row r="19" spans="1:9" x14ac:dyDescent="0.3">
      <c r="A19" s="3" t="s">
        <v>17</v>
      </c>
      <c r="B19" s="2" t="s">
        <v>55</v>
      </c>
      <c r="C19" s="3">
        <v>2</v>
      </c>
      <c r="D19" s="2" t="s">
        <v>83</v>
      </c>
      <c r="E19" s="2" t="s">
        <v>84</v>
      </c>
      <c r="F19" s="2" t="s">
        <v>87</v>
      </c>
      <c r="G19" s="2" t="s">
        <v>117</v>
      </c>
      <c r="H19" s="4">
        <v>1800</v>
      </c>
      <c r="I19" s="2">
        <v>18</v>
      </c>
    </row>
    <row r="20" spans="1:9" x14ac:dyDescent="0.3">
      <c r="A20" s="3" t="s">
        <v>18</v>
      </c>
      <c r="B20" s="2" t="s">
        <v>55</v>
      </c>
      <c r="C20" s="3">
        <v>4</v>
      </c>
      <c r="D20" s="2" t="s">
        <v>93</v>
      </c>
      <c r="E20" s="2" t="s">
        <v>94</v>
      </c>
      <c r="F20" s="2" t="s">
        <v>80</v>
      </c>
      <c r="G20" s="2" t="s">
        <v>113</v>
      </c>
      <c r="H20" s="4">
        <v>3500</v>
      </c>
      <c r="I20" s="2">
        <v>32</v>
      </c>
    </row>
    <row r="21" spans="1:9" x14ac:dyDescent="0.3">
      <c r="A21" s="3" t="s">
        <v>39</v>
      </c>
      <c r="B21" s="2" t="s">
        <v>55</v>
      </c>
      <c r="C21" s="3">
        <v>1</v>
      </c>
      <c r="D21" s="2" t="s">
        <v>85</v>
      </c>
      <c r="E21" s="2" t="s">
        <v>86</v>
      </c>
      <c r="F21" s="2" t="s">
        <v>87</v>
      </c>
      <c r="G21" s="2" t="s">
        <v>118</v>
      </c>
      <c r="H21" s="4">
        <v>2300</v>
      </c>
      <c r="I21" s="2">
        <v>24</v>
      </c>
    </row>
    <row r="22" spans="1:9" x14ac:dyDescent="0.3">
      <c r="A22" s="3" t="s">
        <v>19</v>
      </c>
      <c r="B22" s="2" t="s">
        <v>55</v>
      </c>
      <c r="C22" s="3">
        <v>5</v>
      </c>
      <c r="D22" s="2" t="s">
        <v>83</v>
      </c>
      <c r="E22" s="2" t="s">
        <v>84</v>
      </c>
      <c r="F22" s="2" t="s">
        <v>87</v>
      </c>
      <c r="G22" s="2" t="s">
        <v>119</v>
      </c>
      <c r="H22" s="4">
        <v>1900</v>
      </c>
      <c r="I22" s="2">
        <v>20</v>
      </c>
    </row>
    <row r="23" spans="1:9" x14ac:dyDescent="0.3">
      <c r="A23" s="3" t="s">
        <v>20</v>
      </c>
      <c r="B23" s="2" t="s">
        <v>55</v>
      </c>
      <c r="C23" s="3">
        <v>13</v>
      </c>
      <c r="D23" s="2" t="s">
        <v>78</v>
      </c>
      <c r="E23" s="2" t="s">
        <v>79</v>
      </c>
      <c r="F23" s="2" t="s">
        <v>87</v>
      </c>
      <c r="G23" s="2" t="s">
        <v>120</v>
      </c>
      <c r="H23" s="4">
        <v>2200</v>
      </c>
      <c r="I23" s="2">
        <v>22</v>
      </c>
    </row>
    <row r="24" spans="1:9" x14ac:dyDescent="0.3">
      <c r="A24" s="3" t="s">
        <v>38</v>
      </c>
      <c r="B24" s="2" t="s">
        <v>55</v>
      </c>
      <c r="C24" s="3">
        <v>2</v>
      </c>
      <c r="D24" s="2" t="s">
        <v>88</v>
      </c>
      <c r="E24" s="2" t="s">
        <v>76</v>
      </c>
      <c r="F24" s="2" t="s">
        <v>87</v>
      </c>
      <c r="G24" s="2" t="s">
        <v>121</v>
      </c>
      <c r="H24" s="4">
        <v>1700</v>
      </c>
      <c r="I24" s="2">
        <v>16</v>
      </c>
    </row>
    <row r="25" spans="1:9" x14ac:dyDescent="0.3">
      <c r="A25" s="3" t="s">
        <v>37</v>
      </c>
      <c r="B25" s="2" t="s">
        <v>55</v>
      </c>
      <c r="C25" s="3">
        <v>4</v>
      </c>
      <c r="D25" s="2" t="s">
        <v>83</v>
      </c>
      <c r="E25" s="2" t="s">
        <v>84</v>
      </c>
      <c r="F25" s="2" t="s">
        <v>87</v>
      </c>
      <c r="G25" s="2" t="s">
        <v>122</v>
      </c>
      <c r="H25" s="4">
        <v>2000</v>
      </c>
      <c r="I25" s="2">
        <v>20</v>
      </c>
    </row>
    <row r="26" spans="1:9" x14ac:dyDescent="0.3">
      <c r="A26" s="3" t="s">
        <v>21</v>
      </c>
      <c r="B26" s="2" t="s">
        <v>55</v>
      </c>
      <c r="C26" s="3">
        <v>2</v>
      </c>
      <c r="D26" s="2" t="s">
        <v>91</v>
      </c>
      <c r="E26" s="2" t="s">
        <v>92</v>
      </c>
      <c r="F26" s="2" t="s">
        <v>87</v>
      </c>
      <c r="G26" s="2" t="s">
        <v>123</v>
      </c>
      <c r="H26" s="4">
        <v>1600</v>
      </c>
      <c r="I26" s="2">
        <v>14</v>
      </c>
    </row>
    <row r="27" spans="1:9" x14ac:dyDescent="0.3">
      <c r="A27" s="3" t="s">
        <v>22</v>
      </c>
      <c r="B27" s="2" t="s">
        <v>56</v>
      </c>
      <c r="C27" s="3">
        <v>2</v>
      </c>
      <c r="D27" s="2" t="s">
        <v>95</v>
      </c>
      <c r="E27" s="2" t="s">
        <v>90</v>
      </c>
      <c r="F27" s="2" t="s">
        <v>77</v>
      </c>
      <c r="G27" s="2" t="s">
        <v>124</v>
      </c>
      <c r="H27" s="4">
        <v>450000</v>
      </c>
      <c r="I27" s="2">
        <v>286</v>
      </c>
    </row>
    <row r="28" spans="1:9" x14ac:dyDescent="0.3">
      <c r="A28" s="3" t="s">
        <v>23</v>
      </c>
      <c r="B28" s="2" t="s">
        <v>57</v>
      </c>
      <c r="C28" s="3">
        <v>2</v>
      </c>
      <c r="D28" s="2" t="s">
        <v>96</v>
      </c>
      <c r="E28" s="2" t="s">
        <v>97</v>
      </c>
      <c r="F28" s="2" t="s">
        <v>98</v>
      </c>
      <c r="G28" s="2" t="s">
        <v>125</v>
      </c>
      <c r="H28" s="2">
        <v>50</v>
      </c>
      <c r="I28" s="2">
        <v>4</v>
      </c>
    </row>
    <row r="29" spans="1:9" x14ac:dyDescent="0.3">
      <c r="A29" s="3" t="s">
        <v>24</v>
      </c>
      <c r="B29" s="2" t="s">
        <v>57</v>
      </c>
      <c r="C29" s="3">
        <v>29</v>
      </c>
      <c r="D29" s="2" t="s">
        <v>96</v>
      </c>
      <c r="E29" s="2" t="s">
        <v>97</v>
      </c>
      <c r="F29" s="2" t="s">
        <v>98</v>
      </c>
      <c r="G29" s="2" t="s">
        <v>125</v>
      </c>
      <c r="H29" s="2">
        <v>50</v>
      </c>
      <c r="I29" s="2">
        <v>4</v>
      </c>
    </row>
    <row r="30" spans="1:9" x14ac:dyDescent="0.3">
      <c r="A30" s="3" t="s">
        <v>25</v>
      </c>
      <c r="B30" s="2" t="s">
        <v>57</v>
      </c>
      <c r="C30" s="3">
        <v>56</v>
      </c>
      <c r="D30" s="2" t="s">
        <v>96</v>
      </c>
      <c r="E30" s="2" t="s">
        <v>97</v>
      </c>
      <c r="F30" s="2" t="s">
        <v>98</v>
      </c>
      <c r="G30" s="2" t="s">
        <v>125</v>
      </c>
      <c r="H30" s="2">
        <v>50</v>
      </c>
      <c r="I30" s="2">
        <v>4</v>
      </c>
    </row>
    <row r="31" spans="1:9" x14ac:dyDescent="0.3">
      <c r="A31" s="3" t="s">
        <v>26</v>
      </c>
      <c r="B31" s="2" t="s">
        <v>58</v>
      </c>
      <c r="C31" s="3">
        <v>10</v>
      </c>
      <c r="D31" s="2" t="s">
        <v>99</v>
      </c>
      <c r="E31" s="2" t="s">
        <v>92</v>
      </c>
      <c r="F31" s="2" t="s">
        <v>87</v>
      </c>
      <c r="G31" s="2" t="s">
        <v>126</v>
      </c>
      <c r="H31" s="2">
        <v>25</v>
      </c>
      <c r="I31" s="2">
        <v>2</v>
      </c>
    </row>
    <row r="32" spans="1:9" x14ac:dyDescent="0.3">
      <c r="A32" s="3" t="s">
        <v>27</v>
      </c>
      <c r="B32" s="2" t="s">
        <v>59</v>
      </c>
      <c r="C32" s="3">
        <v>73</v>
      </c>
      <c r="D32" s="2" t="s">
        <v>96</v>
      </c>
      <c r="E32" s="2" t="s">
        <v>97</v>
      </c>
      <c r="F32" s="2" t="s">
        <v>98</v>
      </c>
      <c r="G32" s="2" t="s">
        <v>126</v>
      </c>
      <c r="H32" s="2">
        <v>30</v>
      </c>
      <c r="I32" s="2">
        <v>2</v>
      </c>
    </row>
    <row r="33" spans="1:9" x14ac:dyDescent="0.3">
      <c r="A33" s="3" t="s">
        <v>28</v>
      </c>
      <c r="B33" s="2" t="s">
        <v>60</v>
      </c>
      <c r="C33" s="3">
        <v>12</v>
      </c>
      <c r="D33" s="2" t="s">
        <v>100</v>
      </c>
      <c r="E33" s="2" t="s">
        <v>92</v>
      </c>
      <c r="F33" s="2" t="s">
        <v>87</v>
      </c>
      <c r="G33" s="2" t="s">
        <v>127</v>
      </c>
      <c r="H33" s="2">
        <v>40</v>
      </c>
      <c r="I33" s="2">
        <v>3</v>
      </c>
    </row>
    <row r="34" spans="1:9" x14ac:dyDescent="0.3">
      <c r="A34" s="3" t="s">
        <v>29</v>
      </c>
      <c r="B34" s="2" t="s">
        <v>61</v>
      </c>
      <c r="C34" s="3">
        <v>8</v>
      </c>
      <c r="D34" s="2" t="s">
        <v>96</v>
      </c>
      <c r="E34" s="2" t="s">
        <v>97</v>
      </c>
      <c r="F34" s="2" t="s">
        <v>98</v>
      </c>
      <c r="G34" s="2" t="s">
        <v>128</v>
      </c>
      <c r="H34" s="2">
        <v>15</v>
      </c>
      <c r="I34" s="2">
        <v>1</v>
      </c>
    </row>
    <row r="35" spans="1:9" x14ac:dyDescent="0.3">
      <c r="A35" s="3" t="s">
        <v>30</v>
      </c>
      <c r="B35" s="2" t="s">
        <v>62</v>
      </c>
      <c r="C35" s="3">
        <v>10</v>
      </c>
      <c r="D35" s="2" t="s">
        <v>95</v>
      </c>
      <c r="E35" s="2" t="s">
        <v>90</v>
      </c>
      <c r="F35" s="2" t="s">
        <v>77</v>
      </c>
      <c r="G35" s="2" t="s">
        <v>129</v>
      </c>
      <c r="H35" s="4">
        <v>75000</v>
      </c>
      <c r="I35" s="2">
        <v>124</v>
      </c>
    </row>
    <row r="36" spans="1:9" x14ac:dyDescent="0.3">
      <c r="A36" s="3" t="s">
        <v>31</v>
      </c>
      <c r="B36" s="2" t="s">
        <v>63</v>
      </c>
      <c r="C36" s="3">
        <v>2</v>
      </c>
      <c r="D36" s="2" t="s">
        <v>91</v>
      </c>
      <c r="E36" s="2" t="s">
        <v>92</v>
      </c>
      <c r="F36" s="2" t="s">
        <v>87</v>
      </c>
      <c r="G36" s="2" t="s">
        <v>130</v>
      </c>
      <c r="H36" s="2">
        <v>100</v>
      </c>
      <c r="I36" s="2">
        <v>6</v>
      </c>
    </row>
    <row r="37" spans="1:9" x14ac:dyDescent="0.3">
      <c r="A37" s="3" t="s">
        <v>32</v>
      </c>
      <c r="B37" s="2" t="s">
        <v>63</v>
      </c>
      <c r="C37" s="3">
        <v>12</v>
      </c>
      <c r="D37" s="2" t="s">
        <v>91</v>
      </c>
      <c r="E37" s="2" t="s">
        <v>92</v>
      </c>
      <c r="F37" s="2" t="s">
        <v>87</v>
      </c>
      <c r="G37" s="2" t="s">
        <v>130</v>
      </c>
      <c r="H37" s="2">
        <v>100</v>
      </c>
      <c r="I37" s="2">
        <v>6</v>
      </c>
    </row>
    <row r="38" spans="1:9" x14ac:dyDescent="0.3">
      <c r="A38" s="3" t="s">
        <v>33</v>
      </c>
      <c r="B38" s="2" t="s">
        <v>64</v>
      </c>
      <c r="C38" s="3">
        <v>4</v>
      </c>
      <c r="D38" s="2" t="s">
        <v>101</v>
      </c>
      <c r="E38" s="2" t="s">
        <v>79</v>
      </c>
      <c r="F38" s="2" t="s">
        <v>87</v>
      </c>
      <c r="G38" s="2" t="s">
        <v>131</v>
      </c>
      <c r="H38" s="2">
        <v>75</v>
      </c>
      <c r="I38" s="2">
        <v>5</v>
      </c>
    </row>
    <row r="39" spans="1:9" x14ac:dyDescent="0.3">
      <c r="A39" s="3" t="s">
        <v>34</v>
      </c>
      <c r="B39" s="2" t="s">
        <v>65</v>
      </c>
      <c r="C39" s="3">
        <v>1</v>
      </c>
      <c r="D39" s="2" t="s">
        <v>102</v>
      </c>
      <c r="E39" s="2" t="s">
        <v>92</v>
      </c>
      <c r="F39" s="2" t="s">
        <v>98</v>
      </c>
      <c r="G39" s="2" t="s">
        <v>130</v>
      </c>
      <c r="H39" s="2">
        <v>250</v>
      </c>
      <c r="I39" s="2">
        <v>7</v>
      </c>
    </row>
    <row r="40" spans="1:9" x14ac:dyDescent="0.3">
      <c r="A40" s="3" t="s">
        <v>36</v>
      </c>
      <c r="B40" s="2" t="s">
        <v>66</v>
      </c>
      <c r="C40" s="3">
        <v>1</v>
      </c>
      <c r="D40" s="2" t="s">
        <v>102</v>
      </c>
      <c r="E40" s="2" t="s">
        <v>92</v>
      </c>
      <c r="F40" s="2" t="s">
        <v>98</v>
      </c>
      <c r="G40" s="2" t="s">
        <v>132</v>
      </c>
      <c r="H40" s="2">
        <v>300</v>
      </c>
      <c r="I40" s="2">
        <v>8</v>
      </c>
    </row>
    <row r="41" spans="1:9" x14ac:dyDescent="0.3">
      <c r="A41" s="3" t="s">
        <v>67</v>
      </c>
      <c r="B41" s="2" t="s">
        <v>68</v>
      </c>
      <c r="C41" s="3">
        <v>1</v>
      </c>
      <c r="D41" s="2" t="s">
        <v>103</v>
      </c>
      <c r="E41" s="2" t="s">
        <v>97</v>
      </c>
      <c r="F41" s="2" t="s">
        <v>98</v>
      </c>
      <c r="G41" s="2" t="s">
        <v>125</v>
      </c>
      <c r="H41" s="2">
        <v>50</v>
      </c>
      <c r="I41" s="2">
        <v>2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96D8C-7EAB-4E5E-9A4A-67AC32760309}">
  <dimension ref="A1:C50"/>
  <sheetViews>
    <sheetView workbookViewId="0">
      <selection activeCell="C41" sqref="C1:C41"/>
    </sheetView>
  </sheetViews>
  <sheetFormatPr baseColWidth="10" defaultRowHeight="14.4" x14ac:dyDescent="0.3"/>
  <cols>
    <col min="1" max="1" width="54.5546875" style="2" bestFit="1" customWidth="1"/>
    <col min="2" max="2" width="20.6640625" style="2" bestFit="1" customWidth="1"/>
    <col min="3" max="3" width="14.5546875" style="2" customWidth="1"/>
    <col min="4" max="16384" width="11.5546875" style="2"/>
  </cols>
  <sheetData>
    <row r="1" spans="1:3" x14ac:dyDescent="0.3">
      <c r="A1" s="2" t="s">
        <v>72</v>
      </c>
      <c r="B1" s="2" t="s">
        <v>3</v>
      </c>
      <c r="C1" s="2" t="s">
        <v>133</v>
      </c>
    </row>
    <row r="2" spans="1:3" x14ac:dyDescent="0.3">
      <c r="A2" s="2" t="s">
        <v>4</v>
      </c>
      <c r="B2" s="2" t="s">
        <v>43</v>
      </c>
      <c r="C2" s="2">
        <v>156</v>
      </c>
    </row>
    <row r="3" spans="1:3" x14ac:dyDescent="0.3">
      <c r="A3" s="2" t="s">
        <v>5</v>
      </c>
      <c r="B3" s="2" t="s">
        <v>44</v>
      </c>
      <c r="C3" s="2">
        <v>156</v>
      </c>
    </row>
    <row r="4" spans="1:3" x14ac:dyDescent="0.3">
      <c r="A4" s="2" t="s">
        <v>6</v>
      </c>
      <c r="B4" s="2" t="s">
        <v>45</v>
      </c>
      <c r="C4" s="2">
        <v>98</v>
      </c>
    </row>
    <row r="5" spans="1:3" x14ac:dyDescent="0.3">
      <c r="A5" s="2" t="s">
        <v>7</v>
      </c>
      <c r="B5" s="2" t="s">
        <v>46</v>
      </c>
      <c r="C5" s="2">
        <v>98</v>
      </c>
    </row>
    <row r="6" spans="1:3" x14ac:dyDescent="0.3">
      <c r="A6" s="2" t="s">
        <v>8</v>
      </c>
      <c r="B6" s="2" t="s">
        <v>47</v>
      </c>
      <c r="C6" s="2">
        <v>512</v>
      </c>
    </row>
    <row r="7" spans="1:3" x14ac:dyDescent="0.3">
      <c r="A7" s="2" t="s">
        <v>9</v>
      </c>
      <c r="B7" s="2" t="s">
        <v>48</v>
      </c>
      <c r="C7" s="2">
        <v>376</v>
      </c>
    </row>
    <row r="8" spans="1:3" x14ac:dyDescent="0.3">
      <c r="A8" s="2" t="s">
        <v>10</v>
      </c>
      <c r="B8" s="2" t="s">
        <v>49</v>
      </c>
      <c r="C8" s="2">
        <v>74</v>
      </c>
    </row>
    <row r="9" spans="1:3" x14ac:dyDescent="0.3">
      <c r="A9" s="2" t="s">
        <v>11</v>
      </c>
      <c r="B9" s="2" t="s">
        <v>50</v>
      </c>
      <c r="C9" s="2">
        <v>86</v>
      </c>
    </row>
    <row r="10" spans="1:3" x14ac:dyDescent="0.3">
      <c r="A10" s="2" t="s">
        <v>12</v>
      </c>
      <c r="B10" s="2" t="s">
        <v>51</v>
      </c>
      <c r="C10" s="2">
        <v>192</v>
      </c>
    </row>
    <row r="11" spans="1:3" x14ac:dyDescent="0.3">
      <c r="A11" s="2" t="s">
        <v>13</v>
      </c>
      <c r="B11" s="2" t="s">
        <v>52</v>
      </c>
      <c r="C11" s="2">
        <v>214</v>
      </c>
    </row>
    <row r="12" spans="1:3" x14ac:dyDescent="0.3">
      <c r="A12" s="2" t="s">
        <v>14</v>
      </c>
      <c r="B12" s="2" t="s">
        <v>53</v>
      </c>
      <c r="C12" s="2">
        <v>126</v>
      </c>
    </row>
    <row r="13" spans="1:3" x14ac:dyDescent="0.3">
      <c r="A13" s="2" t="s">
        <v>15</v>
      </c>
      <c r="B13" s="2" t="s">
        <v>54</v>
      </c>
      <c r="C13" s="2">
        <v>10</v>
      </c>
    </row>
    <row r="14" spans="1:3" x14ac:dyDescent="0.3">
      <c r="A14" s="2" t="s">
        <v>35</v>
      </c>
      <c r="B14" s="2" t="s">
        <v>55</v>
      </c>
      <c r="C14" s="2">
        <v>26</v>
      </c>
    </row>
    <row r="15" spans="1:3" x14ac:dyDescent="0.3">
      <c r="A15" s="2" t="s">
        <v>42</v>
      </c>
      <c r="B15" s="2" t="s">
        <v>55</v>
      </c>
      <c r="C15" s="2">
        <v>26</v>
      </c>
    </row>
    <row r="16" spans="1:3" x14ac:dyDescent="0.3">
      <c r="A16" s="2" t="s">
        <v>16</v>
      </c>
      <c r="B16" s="2" t="s">
        <v>55</v>
      </c>
      <c r="C16" s="2">
        <v>22</v>
      </c>
    </row>
    <row r="17" spans="1:3" x14ac:dyDescent="0.3">
      <c r="A17" s="2" t="s">
        <v>41</v>
      </c>
      <c r="B17" s="2" t="s">
        <v>55</v>
      </c>
      <c r="C17" s="2">
        <v>22</v>
      </c>
    </row>
    <row r="18" spans="1:3" x14ac:dyDescent="0.3">
      <c r="A18" s="2" t="s">
        <v>40</v>
      </c>
      <c r="B18" s="2" t="s">
        <v>55</v>
      </c>
      <c r="C18" s="2">
        <v>18</v>
      </c>
    </row>
    <row r="19" spans="1:3" x14ac:dyDescent="0.3">
      <c r="A19" s="2" t="s">
        <v>17</v>
      </c>
      <c r="B19" s="2" t="s">
        <v>55</v>
      </c>
      <c r="C19" s="2">
        <v>18</v>
      </c>
    </row>
    <row r="20" spans="1:3" x14ac:dyDescent="0.3">
      <c r="A20" s="2" t="s">
        <v>18</v>
      </c>
      <c r="B20" s="2" t="s">
        <v>55</v>
      </c>
      <c r="C20" s="2">
        <v>32</v>
      </c>
    </row>
    <row r="21" spans="1:3" x14ac:dyDescent="0.3">
      <c r="A21" s="2" t="s">
        <v>39</v>
      </c>
      <c r="B21" s="2" t="s">
        <v>55</v>
      </c>
      <c r="C21" s="2">
        <v>24</v>
      </c>
    </row>
    <row r="22" spans="1:3" x14ac:dyDescent="0.3">
      <c r="A22" s="2" t="s">
        <v>19</v>
      </c>
      <c r="B22" s="2" t="s">
        <v>55</v>
      </c>
      <c r="C22" s="2">
        <v>20</v>
      </c>
    </row>
    <row r="23" spans="1:3" x14ac:dyDescent="0.3">
      <c r="A23" s="2" t="s">
        <v>20</v>
      </c>
      <c r="B23" s="2" t="s">
        <v>55</v>
      </c>
      <c r="C23" s="2">
        <v>22</v>
      </c>
    </row>
    <row r="24" spans="1:3" x14ac:dyDescent="0.3">
      <c r="A24" s="2" t="s">
        <v>38</v>
      </c>
      <c r="B24" s="2" t="s">
        <v>55</v>
      </c>
      <c r="C24" s="2">
        <v>16</v>
      </c>
    </row>
    <row r="25" spans="1:3" x14ac:dyDescent="0.3">
      <c r="A25" s="2" t="s">
        <v>37</v>
      </c>
      <c r="B25" s="2" t="s">
        <v>55</v>
      </c>
      <c r="C25" s="2">
        <v>20</v>
      </c>
    </row>
    <row r="26" spans="1:3" x14ac:dyDescent="0.3">
      <c r="A26" s="2" t="s">
        <v>21</v>
      </c>
      <c r="B26" s="2" t="s">
        <v>55</v>
      </c>
      <c r="C26" s="2">
        <v>14</v>
      </c>
    </row>
    <row r="27" spans="1:3" x14ac:dyDescent="0.3">
      <c r="A27" s="2" t="s">
        <v>22</v>
      </c>
      <c r="B27" s="2" t="s">
        <v>56</v>
      </c>
      <c r="C27" s="2">
        <v>286</v>
      </c>
    </row>
    <row r="28" spans="1:3" x14ac:dyDescent="0.3">
      <c r="A28" s="2" t="s">
        <v>23</v>
      </c>
      <c r="B28" s="2" t="s">
        <v>57</v>
      </c>
      <c r="C28" s="2">
        <v>4</v>
      </c>
    </row>
    <row r="29" spans="1:3" x14ac:dyDescent="0.3">
      <c r="A29" s="2" t="s">
        <v>24</v>
      </c>
      <c r="B29" s="2" t="s">
        <v>57</v>
      </c>
      <c r="C29" s="2">
        <v>4</v>
      </c>
    </row>
    <row r="30" spans="1:3" x14ac:dyDescent="0.3">
      <c r="A30" s="2" t="s">
        <v>25</v>
      </c>
      <c r="B30" s="2" t="s">
        <v>57</v>
      </c>
      <c r="C30" s="2">
        <v>4</v>
      </c>
    </row>
    <row r="31" spans="1:3" x14ac:dyDescent="0.3">
      <c r="A31" s="2" t="s">
        <v>26</v>
      </c>
      <c r="B31" s="2" t="s">
        <v>58</v>
      </c>
      <c r="C31" s="2">
        <v>2</v>
      </c>
    </row>
    <row r="32" spans="1:3" x14ac:dyDescent="0.3">
      <c r="A32" s="2" t="s">
        <v>27</v>
      </c>
      <c r="B32" s="2" t="s">
        <v>59</v>
      </c>
      <c r="C32" s="2">
        <v>2</v>
      </c>
    </row>
    <row r="33" spans="1:3" x14ac:dyDescent="0.3">
      <c r="A33" s="2" t="s">
        <v>28</v>
      </c>
      <c r="B33" s="2" t="s">
        <v>60</v>
      </c>
      <c r="C33" s="2">
        <v>3</v>
      </c>
    </row>
    <row r="34" spans="1:3" x14ac:dyDescent="0.3">
      <c r="A34" s="2" t="s">
        <v>29</v>
      </c>
      <c r="B34" s="2" t="s">
        <v>61</v>
      </c>
      <c r="C34" s="2">
        <v>1</v>
      </c>
    </row>
    <row r="35" spans="1:3" x14ac:dyDescent="0.3">
      <c r="A35" s="2" t="s">
        <v>30</v>
      </c>
      <c r="B35" s="2" t="s">
        <v>62</v>
      </c>
      <c r="C35" s="2">
        <v>124</v>
      </c>
    </row>
    <row r="36" spans="1:3" x14ac:dyDescent="0.3">
      <c r="A36" s="2" t="s">
        <v>31</v>
      </c>
      <c r="B36" s="2" t="s">
        <v>63</v>
      </c>
      <c r="C36" s="2">
        <v>6</v>
      </c>
    </row>
    <row r="37" spans="1:3" x14ac:dyDescent="0.3">
      <c r="A37" s="2" t="s">
        <v>32</v>
      </c>
      <c r="B37" s="2" t="s">
        <v>63</v>
      </c>
      <c r="C37" s="2">
        <v>6</v>
      </c>
    </row>
    <row r="38" spans="1:3" x14ac:dyDescent="0.3">
      <c r="A38" s="2" t="s">
        <v>33</v>
      </c>
      <c r="B38" s="2" t="s">
        <v>64</v>
      </c>
      <c r="C38" s="2">
        <v>5</v>
      </c>
    </row>
    <row r="39" spans="1:3" x14ac:dyDescent="0.3">
      <c r="A39" s="2" t="s">
        <v>34</v>
      </c>
      <c r="B39" s="2" t="s">
        <v>65</v>
      </c>
      <c r="C39" s="2">
        <v>7</v>
      </c>
    </row>
    <row r="40" spans="1:3" x14ac:dyDescent="0.3">
      <c r="A40" s="2" t="s">
        <v>36</v>
      </c>
      <c r="B40" s="2" t="s">
        <v>66</v>
      </c>
      <c r="C40" s="2">
        <v>8</v>
      </c>
    </row>
    <row r="41" spans="1:3" x14ac:dyDescent="0.3">
      <c r="A41" s="2" t="s">
        <v>67</v>
      </c>
      <c r="B41" s="2" t="s">
        <v>68</v>
      </c>
      <c r="C41" s="2">
        <v>2</v>
      </c>
    </row>
    <row r="42" spans="1:3" x14ac:dyDescent="0.3">
      <c r="A42" s="2" t="s">
        <v>69</v>
      </c>
    </row>
    <row r="44" spans="1:3" x14ac:dyDescent="0.3">
      <c r="A44" s="2" t="s">
        <v>70</v>
      </c>
    </row>
    <row r="45" spans="1:3" x14ac:dyDescent="0.3">
      <c r="A45" s="2" t="s">
        <v>134</v>
      </c>
    </row>
    <row r="46" spans="1:3" x14ac:dyDescent="0.3">
      <c r="A46" s="2" t="s">
        <v>135</v>
      </c>
    </row>
    <row r="47" spans="1:3" x14ac:dyDescent="0.3">
      <c r="A47" s="2" t="s">
        <v>136</v>
      </c>
    </row>
    <row r="48" spans="1:3" x14ac:dyDescent="0.3">
      <c r="A48" s="2" t="e" cm="1">
        <f t="array" ref="A48">- Reflète la difficulté de conception</f>
        <v>#NAME?</v>
      </c>
    </row>
    <row r="50" spans="1:1" x14ac:dyDescent="0.3">
      <c r="A50" s="2" t="s">
        <v>71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ffa499d-8334-4b45-bbba-5ec17299202b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CAMARA, Jean Rene</cp:lastModifiedBy>
  <dcterms:created xsi:type="dcterms:W3CDTF">2025-11-18T16:17:18Z</dcterms:created>
  <dcterms:modified xsi:type="dcterms:W3CDTF">2025-11-25T23:27:30Z</dcterms:modified>
</cp:coreProperties>
</file>